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YuIXPgrG9xumslbecJJwj4DFe+SjKuwa7YlsDXvrpA="/>
    </ext>
  </extLst>
</workbook>
</file>

<file path=xl/sharedStrings.xml><?xml version="1.0" encoding="utf-8"?>
<sst xmlns="http://schemas.openxmlformats.org/spreadsheetml/2006/main" count="313" uniqueCount="23">
  <si>
    <t>OrderID</t>
  </si>
  <si>
    <t>Date</t>
  </si>
  <si>
    <t>Region</t>
  </si>
  <si>
    <t>Product</t>
  </si>
  <si>
    <t>Category</t>
  </si>
  <si>
    <t>Quantity</t>
  </si>
  <si>
    <t>Sales</t>
  </si>
  <si>
    <t>Cost</t>
  </si>
  <si>
    <t>East</t>
  </si>
  <si>
    <t>Laptop</t>
  </si>
  <si>
    <t>Tech</t>
  </si>
  <si>
    <t>West</t>
  </si>
  <si>
    <t>Mobile</t>
  </si>
  <si>
    <t>North</t>
  </si>
  <si>
    <t>Chair</t>
  </si>
  <si>
    <t>Furniture</t>
  </si>
  <si>
    <t>South</t>
  </si>
  <si>
    <t>Table</t>
  </si>
  <si>
    <t>Sum</t>
  </si>
  <si>
    <t>MIn</t>
  </si>
  <si>
    <t>Max</t>
  </si>
  <si>
    <t>Count</t>
  </si>
  <si>
    <t>Countif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</si>
</sst>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>
        <v>1001.0</v>
      </c>
      <c r="B2" s="2">
        <v>44927.0</v>
      </c>
      <c r="C2" s="1" t="s">
        <v>8</v>
      </c>
      <c r="D2" s="1" t="s">
        <v>9</v>
      </c>
      <c r="E2" s="1" t="s">
        <v>10</v>
      </c>
      <c r="F2" s="1">
        <v>2.0</v>
      </c>
      <c r="G2" s="1">
        <v>80000.0</v>
      </c>
      <c r="H2" s="1">
        <v>60000.0</v>
      </c>
    </row>
    <row r="3" ht="14.25" customHeight="1">
      <c r="A3" s="1">
        <v>1002.0</v>
      </c>
      <c r="B3" s="2">
        <v>44928.0</v>
      </c>
      <c r="C3" s="1" t="s">
        <v>11</v>
      </c>
      <c r="D3" s="1" t="s">
        <v>12</v>
      </c>
      <c r="E3" s="1" t="s">
        <v>10</v>
      </c>
      <c r="F3" s="1">
        <v>3.0</v>
      </c>
      <c r="G3" s="1">
        <v>45000.0</v>
      </c>
      <c r="H3" s="1">
        <v>30000.0</v>
      </c>
    </row>
    <row r="4" ht="14.25" customHeight="1">
      <c r="A4" s="1">
        <v>1003.0</v>
      </c>
      <c r="B4" s="2">
        <v>44929.0</v>
      </c>
      <c r="C4" s="1" t="s">
        <v>13</v>
      </c>
      <c r="D4" s="1" t="s">
        <v>14</v>
      </c>
      <c r="E4" s="1" t="s">
        <v>15</v>
      </c>
      <c r="F4" s="1">
        <v>5.0</v>
      </c>
      <c r="G4" s="1">
        <v>25000.0</v>
      </c>
      <c r="H4" s="1">
        <v>15000.0</v>
      </c>
    </row>
    <row r="5" ht="14.25" customHeight="1">
      <c r="A5" s="1">
        <v>1004.0</v>
      </c>
      <c r="B5" s="2">
        <v>44930.0</v>
      </c>
      <c r="C5" s="1" t="s">
        <v>16</v>
      </c>
      <c r="D5" s="1" t="s">
        <v>17</v>
      </c>
      <c r="E5" s="1" t="s">
        <v>15</v>
      </c>
      <c r="F5" s="1">
        <v>2.0</v>
      </c>
      <c r="G5" s="1">
        <v>30000.0</v>
      </c>
      <c r="H5" s="1">
        <v>20000.0</v>
      </c>
    </row>
    <row r="6" ht="14.25" customHeight="1">
      <c r="A6" s="1">
        <v>1005.0</v>
      </c>
      <c r="B6" s="2">
        <v>44931.0</v>
      </c>
      <c r="C6" s="1" t="s">
        <v>8</v>
      </c>
      <c r="D6" s="1" t="s">
        <v>12</v>
      </c>
      <c r="E6" s="1" t="s">
        <v>10</v>
      </c>
      <c r="F6" s="1">
        <v>4.0</v>
      </c>
      <c r="G6" s="1">
        <v>60000.0</v>
      </c>
      <c r="H6" s="1">
        <v>42000.0</v>
      </c>
    </row>
    <row r="7" ht="14.25" customHeight="1">
      <c r="A7" s="1">
        <v>1006.0</v>
      </c>
      <c r="B7" s="2">
        <v>44932.0</v>
      </c>
      <c r="C7" s="1" t="s">
        <v>11</v>
      </c>
      <c r="D7" s="1" t="s">
        <v>9</v>
      </c>
      <c r="E7" s="1" t="s">
        <v>10</v>
      </c>
      <c r="F7" s="1">
        <v>1.0</v>
      </c>
      <c r="G7" s="1">
        <v>40000.0</v>
      </c>
      <c r="H7" s="1">
        <v>30000.0</v>
      </c>
    </row>
    <row r="8" ht="14.25" customHeight="1">
      <c r="A8" s="1">
        <v>1007.0</v>
      </c>
      <c r="B8" s="2">
        <v>44933.0</v>
      </c>
      <c r="C8" s="1" t="s">
        <v>13</v>
      </c>
      <c r="D8" s="1" t="s">
        <v>17</v>
      </c>
      <c r="E8" s="1" t="s">
        <v>15</v>
      </c>
      <c r="F8" s="1">
        <v>3.0</v>
      </c>
      <c r="G8" s="1">
        <v>45000.0</v>
      </c>
      <c r="H8" s="1">
        <v>30000.0</v>
      </c>
    </row>
    <row r="9" ht="14.25" customHeight="1">
      <c r="A9" s="1">
        <v>1008.0</v>
      </c>
      <c r="B9" s="2">
        <v>44934.0</v>
      </c>
      <c r="C9" s="1" t="s">
        <v>16</v>
      </c>
      <c r="D9" s="1" t="s">
        <v>14</v>
      </c>
      <c r="E9" s="1" t="s">
        <v>15</v>
      </c>
      <c r="F9" s="1">
        <v>6.0</v>
      </c>
      <c r="G9" s="1">
        <v>36000.0</v>
      </c>
      <c r="H9" s="1">
        <v>24000.0</v>
      </c>
    </row>
    <row r="10" ht="14.25" customHeight="1">
      <c r="A10" s="1">
        <v>1009.0</v>
      </c>
      <c r="B10" s="2">
        <v>44935.0</v>
      </c>
      <c r="C10" s="1" t="s">
        <v>8</v>
      </c>
      <c r="D10" s="1" t="s">
        <v>9</v>
      </c>
      <c r="E10" s="1" t="s">
        <v>10</v>
      </c>
      <c r="F10" s="1">
        <v>2.0</v>
      </c>
      <c r="G10" s="1">
        <v>82000.0</v>
      </c>
      <c r="H10" s="1">
        <v>61000.0</v>
      </c>
    </row>
    <row r="11" ht="14.25" customHeight="1">
      <c r="A11" s="1">
        <v>1010.0</v>
      </c>
      <c r="B11" s="2">
        <v>44936.0</v>
      </c>
      <c r="C11" s="1" t="s">
        <v>11</v>
      </c>
      <c r="D11" s="1" t="s">
        <v>12</v>
      </c>
      <c r="E11" s="1" t="s">
        <v>10</v>
      </c>
      <c r="F11" s="1">
        <v>5.0</v>
      </c>
      <c r="G11" s="1">
        <v>75000.0</v>
      </c>
      <c r="H11" s="1">
        <v>52000.0</v>
      </c>
    </row>
    <row r="12" ht="14.25" customHeight="1">
      <c r="A12" s="1">
        <v>1011.0</v>
      </c>
      <c r="B12" s="2">
        <v>44937.0</v>
      </c>
      <c r="C12" s="1" t="s">
        <v>13</v>
      </c>
      <c r="D12" s="1" t="s">
        <v>14</v>
      </c>
      <c r="E12" s="1" t="s">
        <v>15</v>
      </c>
      <c r="F12" s="1">
        <v>4.0</v>
      </c>
      <c r="G12" s="1">
        <v>20000.0</v>
      </c>
      <c r="H12" s="1">
        <v>14000.0</v>
      </c>
    </row>
    <row r="13" ht="14.25" customHeight="1">
      <c r="A13" s="1">
        <v>1012.0</v>
      </c>
      <c r="B13" s="2">
        <v>44938.0</v>
      </c>
      <c r="C13" s="1" t="s">
        <v>16</v>
      </c>
      <c r="D13" s="1" t="s">
        <v>17</v>
      </c>
      <c r="E13" s="1" t="s">
        <v>15</v>
      </c>
      <c r="F13" s="1">
        <v>3.0</v>
      </c>
      <c r="G13" s="1">
        <v>45000.0</v>
      </c>
      <c r="H13" s="1">
        <v>32000.0</v>
      </c>
    </row>
    <row r="14" ht="14.25" customHeight="1">
      <c r="A14" s="1">
        <v>1013.0</v>
      </c>
      <c r="B14" s="2">
        <v>44939.0</v>
      </c>
      <c r="C14" s="1" t="s">
        <v>8</v>
      </c>
      <c r="D14" s="1" t="s">
        <v>12</v>
      </c>
      <c r="E14" s="1" t="s">
        <v>10</v>
      </c>
      <c r="F14" s="1">
        <v>2.0</v>
      </c>
      <c r="G14" s="1">
        <v>30000.0</v>
      </c>
      <c r="H14" s="1">
        <v>20000.0</v>
      </c>
    </row>
    <row r="15" ht="14.25" customHeight="1">
      <c r="A15" s="1">
        <v>1014.0</v>
      </c>
      <c r="B15" s="2">
        <v>44940.0</v>
      </c>
      <c r="C15" s="1" t="s">
        <v>11</v>
      </c>
      <c r="D15" s="1" t="s">
        <v>9</v>
      </c>
      <c r="E15" s="1" t="s">
        <v>10</v>
      </c>
      <c r="F15" s="1">
        <v>3.0</v>
      </c>
      <c r="G15" s="1">
        <v>120000.0</v>
      </c>
      <c r="H15" s="1">
        <v>90000.0</v>
      </c>
    </row>
    <row r="16" ht="14.25" customHeight="1">
      <c r="A16" s="1">
        <v>1015.0</v>
      </c>
      <c r="B16" s="2">
        <v>44941.0</v>
      </c>
      <c r="C16" s="1" t="s">
        <v>13</v>
      </c>
      <c r="D16" s="1" t="s">
        <v>17</v>
      </c>
      <c r="E16" s="1" t="s">
        <v>15</v>
      </c>
      <c r="F16" s="1">
        <v>1.0</v>
      </c>
      <c r="G16" s="1">
        <v>15000.0</v>
      </c>
      <c r="H16" s="1">
        <v>10000.0</v>
      </c>
    </row>
    <row r="17" ht="14.25" customHeight="1">
      <c r="A17" s="1">
        <v>1016.0</v>
      </c>
      <c r="B17" s="2">
        <v>44942.0</v>
      </c>
      <c r="C17" s="1" t="s">
        <v>16</v>
      </c>
      <c r="D17" s="1" t="s">
        <v>14</v>
      </c>
      <c r="E17" s="1" t="s">
        <v>15</v>
      </c>
      <c r="F17" s="1">
        <v>7.0</v>
      </c>
      <c r="G17" s="1">
        <v>42000.0</v>
      </c>
      <c r="H17" s="1">
        <v>30000.0</v>
      </c>
    </row>
    <row r="18" ht="14.25" customHeight="1">
      <c r="A18" s="1">
        <v>1017.0</v>
      </c>
      <c r="B18" s="2">
        <v>44943.0</v>
      </c>
      <c r="C18" s="1" t="s">
        <v>8</v>
      </c>
      <c r="D18" s="1" t="s">
        <v>9</v>
      </c>
      <c r="E18" s="1" t="s">
        <v>10</v>
      </c>
      <c r="F18" s="1">
        <v>2.0</v>
      </c>
      <c r="G18" s="1">
        <v>85000.0</v>
      </c>
      <c r="H18" s="1">
        <v>65000.0</v>
      </c>
    </row>
    <row r="19" ht="14.25" customHeight="1">
      <c r="A19" s="1">
        <v>1018.0</v>
      </c>
      <c r="B19" s="2">
        <v>44944.0</v>
      </c>
      <c r="C19" s="1" t="s">
        <v>11</v>
      </c>
      <c r="D19" s="1" t="s">
        <v>12</v>
      </c>
      <c r="E19" s="1" t="s">
        <v>10</v>
      </c>
      <c r="F19" s="1">
        <v>4.0</v>
      </c>
      <c r="G19" s="1">
        <v>64000.0</v>
      </c>
      <c r="H19" s="1">
        <v>46000.0</v>
      </c>
    </row>
    <row r="20" ht="14.25" customHeight="1">
      <c r="A20" s="1">
        <v>1019.0</v>
      </c>
      <c r="B20" s="2">
        <v>44945.0</v>
      </c>
      <c r="C20" s="1" t="s">
        <v>13</v>
      </c>
      <c r="D20" s="1" t="s">
        <v>14</v>
      </c>
      <c r="E20" s="1" t="s">
        <v>15</v>
      </c>
      <c r="F20" s="1">
        <v>6.0</v>
      </c>
      <c r="G20" s="1">
        <v>36000.0</v>
      </c>
      <c r="H20" s="1">
        <v>25000.0</v>
      </c>
    </row>
    <row r="21" ht="14.25" customHeight="1">
      <c r="A21" s="1">
        <v>1020.0</v>
      </c>
      <c r="B21" s="2">
        <v>44946.0</v>
      </c>
      <c r="C21" s="1" t="s">
        <v>16</v>
      </c>
      <c r="D21" s="1" t="s">
        <v>17</v>
      </c>
      <c r="E21" s="1" t="s">
        <v>15</v>
      </c>
      <c r="F21" s="1">
        <v>2.0</v>
      </c>
      <c r="G21" s="1">
        <v>32000.0</v>
      </c>
      <c r="H21" s="1">
        <v>22000.0</v>
      </c>
    </row>
    <row r="22" ht="14.25" customHeight="1">
      <c r="A22" s="1">
        <v>1021.0</v>
      </c>
      <c r="B22" s="2">
        <v>44947.0</v>
      </c>
      <c r="C22" s="1" t="s">
        <v>8</v>
      </c>
      <c r="D22" s="1" t="s">
        <v>12</v>
      </c>
      <c r="E22" s="1" t="s">
        <v>10</v>
      </c>
      <c r="F22" s="1">
        <v>5.0</v>
      </c>
      <c r="G22" s="1">
        <v>70000.0</v>
      </c>
      <c r="H22" s="1">
        <v>50000.0</v>
      </c>
    </row>
    <row r="23" ht="14.25" customHeight="1">
      <c r="A23" s="1">
        <v>1022.0</v>
      </c>
      <c r="B23" s="2">
        <v>44948.0</v>
      </c>
      <c r="C23" s="1" t="s">
        <v>11</v>
      </c>
      <c r="D23" s="1" t="s">
        <v>9</v>
      </c>
      <c r="E23" s="1" t="s">
        <v>10</v>
      </c>
      <c r="F23" s="1">
        <v>1.0</v>
      </c>
      <c r="G23" s="1">
        <v>42000.0</v>
      </c>
      <c r="H23" s="1">
        <v>31000.0</v>
      </c>
    </row>
    <row r="24" ht="14.25" customHeight="1">
      <c r="A24" s="1">
        <v>1023.0</v>
      </c>
      <c r="B24" s="2">
        <v>44949.0</v>
      </c>
      <c r="C24" s="1" t="s">
        <v>13</v>
      </c>
      <c r="D24" s="1" t="s">
        <v>17</v>
      </c>
      <c r="E24" s="1" t="s">
        <v>15</v>
      </c>
      <c r="F24" s="1">
        <v>4.0</v>
      </c>
      <c r="G24" s="1">
        <v>60000.0</v>
      </c>
      <c r="H24" s="1">
        <v>43000.0</v>
      </c>
    </row>
    <row r="25" ht="14.25" customHeight="1">
      <c r="A25" s="1">
        <v>1024.0</v>
      </c>
      <c r="B25" s="2">
        <v>44950.0</v>
      </c>
      <c r="C25" s="1" t="s">
        <v>16</v>
      </c>
      <c r="D25" s="1" t="s">
        <v>14</v>
      </c>
      <c r="E25" s="1" t="s">
        <v>15</v>
      </c>
      <c r="F25" s="1">
        <v>8.0</v>
      </c>
      <c r="G25" s="1">
        <v>48000.0</v>
      </c>
      <c r="H25" s="1">
        <v>34000.0</v>
      </c>
    </row>
    <row r="26" ht="14.25" customHeight="1">
      <c r="A26" s="1">
        <v>1025.0</v>
      </c>
      <c r="B26" s="2">
        <v>44951.0</v>
      </c>
      <c r="C26" s="1" t="s">
        <v>8</v>
      </c>
      <c r="D26" s="1" t="s">
        <v>9</v>
      </c>
      <c r="E26" s="1" t="s">
        <v>10</v>
      </c>
      <c r="F26" s="1">
        <v>3.0</v>
      </c>
      <c r="G26" s="1">
        <v>125000.0</v>
      </c>
      <c r="H26" s="1">
        <v>94000.0</v>
      </c>
    </row>
    <row r="27" ht="14.25" customHeight="1">
      <c r="A27" s="1">
        <v>1026.0</v>
      </c>
      <c r="B27" s="2">
        <v>44952.0</v>
      </c>
      <c r="C27" s="1" t="s">
        <v>11</v>
      </c>
      <c r="D27" s="1" t="s">
        <v>12</v>
      </c>
      <c r="E27" s="1" t="s">
        <v>10</v>
      </c>
      <c r="F27" s="1">
        <v>2.0</v>
      </c>
      <c r="G27" s="1">
        <v>32000.0</v>
      </c>
      <c r="H27" s="1">
        <v>22000.0</v>
      </c>
    </row>
    <row r="28" ht="14.25" customHeight="1">
      <c r="A28" s="1">
        <v>1027.0</v>
      </c>
      <c r="B28" s="2">
        <v>44953.0</v>
      </c>
      <c r="C28" s="1" t="s">
        <v>13</v>
      </c>
      <c r="D28" s="1" t="s">
        <v>14</v>
      </c>
      <c r="E28" s="1" t="s">
        <v>15</v>
      </c>
      <c r="F28" s="1">
        <v>5.0</v>
      </c>
      <c r="G28" s="1">
        <v>28000.0</v>
      </c>
      <c r="H28" s="1">
        <v>19000.0</v>
      </c>
    </row>
    <row r="29" ht="14.25" customHeight="1">
      <c r="A29" s="1">
        <v>1028.0</v>
      </c>
      <c r="B29" s="2">
        <v>44954.0</v>
      </c>
      <c r="C29" s="1" t="s">
        <v>16</v>
      </c>
      <c r="D29" s="1" t="s">
        <v>17</v>
      </c>
      <c r="E29" s="1" t="s">
        <v>15</v>
      </c>
      <c r="F29" s="1">
        <v>3.0</v>
      </c>
      <c r="G29" s="1">
        <v>48000.0</v>
      </c>
      <c r="H29" s="1">
        <v>36000.0</v>
      </c>
    </row>
    <row r="30" ht="14.25" customHeight="1">
      <c r="A30" s="1">
        <v>1029.0</v>
      </c>
      <c r="B30" s="2">
        <v>44955.0</v>
      </c>
      <c r="C30" s="1" t="s">
        <v>8</v>
      </c>
      <c r="D30" s="1" t="s">
        <v>12</v>
      </c>
      <c r="E30" s="1" t="s">
        <v>10</v>
      </c>
      <c r="F30" s="1">
        <v>6.0</v>
      </c>
      <c r="G30" s="1">
        <v>90000.0</v>
      </c>
      <c r="H30" s="1">
        <v>66000.0</v>
      </c>
    </row>
    <row r="31" ht="14.25" customHeight="1">
      <c r="A31" s="1">
        <v>1030.0</v>
      </c>
      <c r="B31" s="2">
        <v>44956.0</v>
      </c>
      <c r="C31" s="1" t="s">
        <v>11</v>
      </c>
      <c r="D31" s="1" t="s">
        <v>9</v>
      </c>
      <c r="E31" s="1" t="s">
        <v>10</v>
      </c>
      <c r="F31" s="1">
        <v>2.0</v>
      </c>
      <c r="G31" s="1">
        <v>88000.0</v>
      </c>
      <c r="H31" s="1">
        <v>67000.0</v>
      </c>
    </row>
    <row r="32" ht="14.25" customHeight="1">
      <c r="A32" s="1">
        <v>1031.0</v>
      </c>
      <c r="B32" s="2">
        <v>44958.0</v>
      </c>
      <c r="C32" s="1" t="s">
        <v>13</v>
      </c>
      <c r="D32" s="1" t="s">
        <v>14</v>
      </c>
      <c r="E32" s="1" t="s">
        <v>15</v>
      </c>
      <c r="F32" s="1">
        <v>4.0</v>
      </c>
      <c r="G32" s="1">
        <v>22000.0</v>
      </c>
      <c r="H32" s="1">
        <v>16000.0</v>
      </c>
    </row>
    <row r="33" ht="14.25" customHeight="1">
      <c r="A33" s="1">
        <v>1032.0</v>
      </c>
      <c r="B33" s="2">
        <v>44959.0</v>
      </c>
      <c r="C33" s="1" t="s">
        <v>16</v>
      </c>
      <c r="D33" s="1" t="s">
        <v>17</v>
      </c>
      <c r="E33" s="1" t="s">
        <v>15</v>
      </c>
      <c r="F33" s="1">
        <v>5.0</v>
      </c>
      <c r="G33" s="1">
        <v>75000.0</v>
      </c>
      <c r="H33" s="1">
        <v>55000.0</v>
      </c>
    </row>
    <row r="34" ht="14.25" customHeight="1">
      <c r="A34" s="1">
        <v>1033.0</v>
      </c>
      <c r="B34" s="2">
        <v>44960.0</v>
      </c>
      <c r="C34" s="1" t="s">
        <v>8</v>
      </c>
      <c r="D34" s="1" t="s">
        <v>9</v>
      </c>
      <c r="E34" s="1" t="s">
        <v>10</v>
      </c>
      <c r="F34" s="1">
        <v>1.0</v>
      </c>
      <c r="G34" s="1">
        <v>45000.0</v>
      </c>
      <c r="H34" s="1">
        <v>35000.0</v>
      </c>
    </row>
    <row r="35" ht="14.25" customHeight="1">
      <c r="A35" s="1">
        <v>1034.0</v>
      </c>
      <c r="B35" s="2">
        <v>44961.0</v>
      </c>
      <c r="C35" s="1" t="s">
        <v>11</v>
      </c>
      <c r="D35" s="1" t="s">
        <v>12</v>
      </c>
      <c r="E35" s="1" t="s">
        <v>10</v>
      </c>
      <c r="F35" s="1">
        <v>3.0</v>
      </c>
      <c r="G35" s="1">
        <v>48000.0</v>
      </c>
      <c r="H35" s="1">
        <v>34000.0</v>
      </c>
    </row>
    <row r="36" ht="14.25" customHeight="1">
      <c r="A36" s="1">
        <v>1035.0</v>
      </c>
      <c r="B36" s="2">
        <v>44962.0</v>
      </c>
      <c r="C36" s="1" t="s">
        <v>13</v>
      </c>
      <c r="D36" s="1" t="s">
        <v>17</v>
      </c>
      <c r="E36" s="1" t="s">
        <v>15</v>
      </c>
      <c r="F36" s="1">
        <v>2.0</v>
      </c>
      <c r="G36" s="1">
        <v>30000.0</v>
      </c>
      <c r="H36" s="1">
        <v>22000.0</v>
      </c>
      <c r="L36" s="3">
        <v>10000.0</v>
      </c>
      <c r="M36" s="3">
        <v>500.0</v>
      </c>
      <c r="N36" s="3">
        <v>986496.0</v>
      </c>
      <c r="O36" s="3">
        <v>4580.0</v>
      </c>
      <c r="P36" s="1">
        <f t="shared" ref="P36:P39" si="1">L36-SUM(M36:O36)</f>
        <v>-981576</v>
      </c>
      <c r="Q36" s="1">
        <f>L36-sum(M36:P36)</f>
        <v>0</v>
      </c>
    </row>
    <row r="37" ht="14.25" customHeight="1">
      <c r="A37" s="1">
        <v>1036.0</v>
      </c>
      <c r="B37" s="2">
        <v>44963.0</v>
      </c>
      <c r="C37" s="1" t="s">
        <v>16</v>
      </c>
      <c r="D37" s="1" t="s">
        <v>14</v>
      </c>
      <c r="E37" s="1" t="s">
        <v>15</v>
      </c>
      <c r="F37" s="1">
        <v>6.0</v>
      </c>
      <c r="G37" s="1">
        <v>39000.0</v>
      </c>
      <c r="H37" s="1">
        <v>28000.0</v>
      </c>
      <c r="L37" s="3">
        <v>1000.0</v>
      </c>
      <c r="M37" s="3">
        <v>96.0</v>
      </c>
      <c r="N37" s="3">
        <v>84.0</v>
      </c>
      <c r="O37" s="3">
        <v>97.0</v>
      </c>
      <c r="P37" s="1">
        <f t="shared" si="1"/>
        <v>723</v>
      </c>
      <c r="Q37" s="1">
        <f t="shared" ref="Q37:Q39" si="2">SUM(M37:P37)</f>
        <v>1000</v>
      </c>
      <c r="R37" s="1">
        <f>L37-sum(M37:O37)</f>
        <v>723</v>
      </c>
      <c r="S37" s="1">
        <f>SUM(M37:R37)</f>
        <v>2723</v>
      </c>
    </row>
    <row r="38" ht="14.25" customHeight="1">
      <c r="A38" s="1">
        <v>1037.0</v>
      </c>
      <c r="B38" s="2">
        <v>44964.0</v>
      </c>
      <c r="C38" s="1" t="s">
        <v>8</v>
      </c>
      <c r="D38" s="1" t="s">
        <v>12</v>
      </c>
      <c r="E38" s="1" t="s">
        <v>10</v>
      </c>
      <c r="F38" s="1">
        <v>4.0</v>
      </c>
      <c r="G38" s="1">
        <v>62000.0</v>
      </c>
      <c r="H38" s="1">
        <v>46000.0</v>
      </c>
      <c r="L38" s="3">
        <v>1000.0</v>
      </c>
      <c r="M38" s="3">
        <v>64.0</v>
      </c>
      <c r="N38" s="3">
        <v>76.0</v>
      </c>
      <c r="O38" s="3">
        <v>19.0</v>
      </c>
      <c r="P38" s="1">
        <f t="shared" si="1"/>
        <v>841</v>
      </c>
      <c r="Q38" s="1">
        <f t="shared" si="2"/>
        <v>1000</v>
      </c>
    </row>
    <row r="39" ht="14.25" customHeight="1">
      <c r="A39" s="1">
        <v>1038.0</v>
      </c>
      <c r="B39" s="2">
        <v>44965.0</v>
      </c>
      <c r="C39" s="1" t="s">
        <v>11</v>
      </c>
      <c r="D39" s="1" t="s">
        <v>9</v>
      </c>
      <c r="E39" s="1" t="s">
        <v>10</v>
      </c>
      <c r="F39" s="1">
        <v>3.0</v>
      </c>
      <c r="G39" s="1">
        <v>130000.0</v>
      </c>
      <c r="H39" s="1">
        <v>98000.0</v>
      </c>
      <c r="L39" s="3">
        <v>1000.0</v>
      </c>
      <c r="M39" s="3">
        <v>78.0</v>
      </c>
      <c r="N39" s="3">
        <v>99.0</v>
      </c>
      <c r="O39" s="3">
        <v>265.0</v>
      </c>
      <c r="P39" s="1">
        <f t="shared" si="1"/>
        <v>558</v>
      </c>
      <c r="Q39" s="1">
        <f t="shared" si="2"/>
        <v>1000</v>
      </c>
    </row>
    <row r="40" ht="14.25" customHeight="1">
      <c r="A40" s="1">
        <v>1039.0</v>
      </c>
      <c r="B40" s="2">
        <v>44966.0</v>
      </c>
      <c r="C40" s="1" t="s">
        <v>13</v>
      </c>
      <c r="D40" s="1" t="s">
        <v>14</v>
      </c>
      <c r="E40" s="1" t="s">
        <v>15</v>
      </c>
      <c r="F40" s="1">
        <v>7.0</v>
      </c>
      <c r="G40" s="1">
        <v>42000.0</v>
      </c>
      <c r="H40" s="1">
        <v>31000.0</v>
      </c>
      <c r="M40" s="1">
        <f t="shared" ref="M40:P40" si="3">M36-SUM(M37:M39)</f>
        <v>262</v>
      </c>
      <c r="N40" s="1">
        <f t="shared" si="3"/>
        <v>986237</v>
      </c>
      <c r="O40" s="1">
        <f t="shared" si="3"/>
        <v>4199</v>
      </c>
      <c r="P40" s="1">
        <f t="shared" si="3"/>
        <v>-983698</v>
      </c>
    </row>
    <row r="41" ht="14.25" customHeight="1">
      <c r="A41" s="1">
        <v>1040.0</v>
      </c>
      <c r="B41" s="2">
        <v>44967.0</v>
      </c>
      <c r="C41" s="1" t="s">
        <v>16</v>
      </c>
      <c r="D41" s="1" t="s">
        <v>17</v>
      </c>
      <c r="E41" s="1" t="s">
        <v>15</v>
      </c>
      <c r="F41" s="1">
        <v>1.0</v>
      </c>
      <c r="G41" s="1">
        <v>18000.0</v>
      </c>
      <c r="H41" s="1">
        <v>13000.0</v>
      </c>
      <c r="K41" s="3" t="s">
        <v>18</v>
      </c>
      <c r="L41" s="1">
        <f>SUM(L36:L39)</f>
        <v>13000</v>
      </c>
    </row>
    <row r="42" ht="14.25" customHeight="1">
      <c r="A42" s="1">
        <v>1041.0</v>
      </c>
      <c r="B42" s="2">
        <v>44968.0</v>
      </c>
      <c r="C42" s="1" t="s">
        <v>8</v>
      </c>
      <c r="D42" s="1" t="s">
        <v>9</v>
      </c>
      <c r="E42" s="1" t="s">
        <v>10</v>
      </c>
      <c r="F42" s="1">
        <v>2.0</v>
      </c>
      <c r="G42" s="1">
        <v>83000.0</v>
      </c>
      <c r="H42" s="1">
        <v>62000.0</v>
      </c>
      <c r="K42" s="3" t="s">
        <v>19</v>
      </c>
      <c r="L42" s="1">
        <f>min(L36:O40)</f>
        <v>19</v>
      </c>
    </row>
    <row r="43" ht="14.25" customHeight="1">
      <c r="A43" s="1">
        <v>1042.0</v>
      </c>
      <c r="B43" s="2">
        <v>44969.0</v>
      </c>
      <c r="C43" s="1" t="s">
        <v>11</v>
      </c>
      <c r="D43" s="1" t="s">
        <v>12</v>
      </c>
      <c r="E43" s="1" t="s">
        <v>10</v>
      </c>
      <c r="F43" s="1">
        <v>5.0</v>
      </c>
      <c r="G43" s="1">
        <v>76000.0</v>
      </c>
      <c r="H43" s="1">
        <v>54000.0</v>
      </c>
      <c r="K43" s="3" t="s">
        <v>20</v>
      </c>
      <c r="L43" s="1">
        <f>MAX(L36:S40)</f>
        <v>986496</v>
      </c>
    </row>
    <row r="44" ht="14.25" customHeight="1">
      <c r="A44" s="1">
        <v>1043.0</v>
      </c>
      <c r="B44" s="2">
        <v>44970.0</v>
      </c>
      <c r="C44" s="1" t="s">
        <v>13</v>
      </c>
      <c r="D44" s="1" t="s">
        <v>14</v>
      </c>
      <c r="E44" s="1" t="s">
        <v>15</v>
      </c>
      <c r="F44" s="1">
        <v>3.0</v>
      </c>
      <c r="G44" s="1">
        <v>21000.0</v>
      </c>
      <c r="H44" s="1">
        <v>15000.0</v>
      </c>
      <c r="K44" s="3" t="s">
        <v>21</v>
      </c>
      <c r="L44" s="1">
        <f>COUNT(L36:S40)</f>
        <v>30</v>
      </c>
    </row>
    <row r="45" ht="14.25" customHeight="1">
      <c r="A45" s="1">
        <v>1044.0</v>
      </c>
      <c r="B45" s="2">
        <v>44971.0</v>
      </c>
      <c r="C45" s="1" t="s">
        <v>16</v>
      </c>
      <c r="D45" s="1" t="s">
        <v>17</v>
      </c>
      <c r="E45" s="1" t="s">
        <v>15</v>
      </c>
      <c r="F45" s="1">
        <v>4.0</v>
      </c>
      <c r="G45" s="1">
        <v>62000.0</v>
      </c>
      <c r="H45" s="1">
        <v>46000.0</v>
      </c>
      <c r="K45" s="3" t="s">
        <v>22</v>
      </c>
      <c r="L45" s="1" t="str">
        <f>COUNTIF(L36:P40,1,0)</f>
        <v>#N/A</v>
      </c>
    </row>
    <row r="46" ht="14.25" customHeight="1">
      <c r="A46" s="1">
        <v>1045.0</v>
      </c>
      <c r="B46" s="2">
        <v>44972.0</v>
      </c>
      <c r="C46" s="1" t="s">
        <v>8</v>
      </c>
      <c r="D46" s="1" t="s">
        <v>12</v>
      </c>
      <c r="E46" s="1" t="s">
        <v>10</v>
      </c>
      <c r="F46" s="1">
        <v>3.0</v>
      </c>
      <c r="G46" s="1">
        <v>48000.0</v>
      </c>
      <c r="H46" s="1">
        <v>35000.0</v>
      </c>
    </row>
    <row r="47" ht="14.25" customHeight="1">
      <c r="A47" s="1">
        <v>1046.0</v>
      </c>
      <c r="B47" s="2">
        <v>44973.0</v>
      </c>
      <c r="C47" s="1" t="s">
        <v>11</v>
      </c>
      <c r="D47" s="1" t="s">
        <v>9</v>
      </c>
      <c r="E47" s="1" t="s">
        <v>10</v>
      </c>
      <c r="F47" s="1">
        <v>1.0</v>
      </c>
      <c r="G47" s="1">
        <v>39000.0</v>
      </c>
      <c r="H47" s="1">
        <v>29000.0</v>
      </c>
    </row>
    <row r="48" ht="14.25" customHeight="1">
      <c r="A48" s="1">
        <v>1047.0</v>
      </c>
      <c r="B48" s="2">
        <v>44974.0</v>
      </c>
      <c r="C48" s="1" t="s">
        <v>13</v>
      </c>
      <c r="D48" s="1" t="s">
        <v>17</v>
      </c>
      <c r="E48" s="1" t="s">
        <v>15</v>
      </c>
      <c r="F48" s="1">
        <v>2.0</v>
      </c>
      <c r="G48" s="1">
        <v>32000.0</v>
      </c>
      <c r="H48" s="1">
        <v>24000.0</v>
      </c>
    </row>
    <row r="49" ht="14.25" customHeight="1">
      <c r="A49" s="1">
        <v>1048.0</v>
      </c>
      <c r="B49" s="2">
        <v>44975.0</v>
      </c>
      <c r="C49" s="1" t="s">
        <v>16</v>
      </c>
      <c r="D49" s="1" t="s">
        <v>14</v>
      </c>
      <c r="E49" s="1" t="s">
        <v>15</v>
      </c>
      <c r="F49" s="1">
        <v>5.0</v>
      </c>
      <c r="G49" s="1">
        <v>34000.0</v>
      </c>
      <c r="H49" s="1">
        <v>25000.0</v>
      </c>
    </row>
    <row r="50" ht="14.25" customHeight="1">
      <c r="A50" s="1">
        <v>1049.0</v>
      </c>
      <c r="B50" s="2">
        <v>44976.0</v>
      </c>
      <c r="C50" s="1" t="s">
        <v>8</v>
      </c>
      <c r="D50" s="1" t="s">
        <v>9</v>
      </c>
      <c r="E50" s="1" t="s">
        <v>10</v>
      </c>
      <c r="F50" s="1">
        <v>4.0</v>
      </c>
      <c r="G50" s="1">
        <v>160000.0</v>
      </c>
      <c r="H50" s="1">
        <v>120000.0</v>
      </c>
    </row>
    <row r="51" ht="14.25" customHeight="1">
      <c r="A51" s="1">
        <v>1050.0</v>
      </c>
      <c r="B51" s="2">
        <v>44977.0</v>
      </c>
      <c r="C51" s="1" t="s">
        <v>11</v>
      </c>
      <c r="D51" s="1" t="s">
        <v>12</v>
      </c>
      <c r="E51" s="1" t="s">
        <v>10</v>
      </c>
      <c r="F51" s="1">
        <v>2.0</v>
      </c>
      <c r="G51" s="1">
        <v>30000.0</v>
      </c>
      <c r="H51" s="1">
        <v>22000.0</v>
      </c>
    </row>
    <row r="52" ht="14.25" customHeight="1">
      <c r="A52" s="1">
        <v>1051.0</v>
      </c>
      <c r="B52" s="2">
        <v>44978.0</v>
      </c>
      <c r="C52" s="1" t="s">
        <v>13</v>
      </c>
      <c r="D52" s="1" t="s">
        <v>14</v>
      </c>
      <c r="E52" s="1" t="s">
        <v>15</v>
      </c>
      <c r="F52" s="1">
        <v>6.0</v>
      </c>
      <c r="G52" s="1">
        <v>38000.0</v>
      </c>
      <c r="H52" s="1">
        <v>28000.0</v>
      </c>
    </row>
    <row r="53" ht="14.25" customHeight="1">
      <c r="A53" s="1">
        <v>1052.0</v>
      </c>
      <c r="B53" s="2">
        <v>44979.0</v>
      </c>
      <c r="C53" s="1" t="s">
        <v>16</v>
      </c>
      <c r="D53" s="1" t="s">
        <v>17</v>
      </c>
      <c r="E53" s="1" t="s">
        <v>15</v>
      </c>
      <c r="F53" s="1">
        <v>3.0</v>
      </c>
      <c r="G53" s="1">
        <v>45000.0</v>
      </c>
      <c r="H53" s="1">
        <v>33000.0</v>
      </c>
    </row>
    <row r="54" ht="14.25" customHeight="1">
      <c r="A54" s="1">
        <v>1053.0</v>
      </c>
      <c r="B54" s="2">
        <v>44980.0</v>
      </c>
      <c r="C54" s="1" t="s">
        <v>8</v>
      </c>
      <c r="D54" s="1" t="s">
        <v>12</v>
      </c>
      <c r="E54" s="1" t="s">
        <v>10</v>
      </c>
      <c r="F54" s="1">
        <v>5.0</v>
      </c>
      <c r="G54" s="1">
        <v>78000.0</v>
      </c>
      <c r="H54" s="1">
        <v>58000.0</v>
      </c>
    </row>
    <row r="55" ht="14.25" customHeight="1">
      <c r="A55" s="1">
        <v>1054.0</v>
      </c>
      <c r="B55" s="2">
        <v>44981.0</v>
      </c>
      <c r="C55" s="1" t="s">
        <v>11</v>
      </c>
      <c r="D55" s="1" t="s">
        <v>9</v>
      </c>
      <c r="E55" s="1" t="s">
        <v>10</v>
      </c>
      <c r="F55" s="1">
        <v>2.0</v>
      </c>
      <c r="G55" s="1">
        <v>90000.0</v>
      </c>
      <c r="H55" s="1">
        <v>70000.0</v>
      </c>
    </row>
    <row r="56" ht="14.25" customHeight="1">
      <c r="A56" s="1">
        <v>1055.0</v>
      </c>
      <c r="B56" s="2">
        <v>44982.0</v>
      </c>
      <c r="C56" s="1" t="s">
        <v>13</v>
      </c>
      <c r="D56" s="1" t="s">
        <v>17</v>
      </c>
      <c r="E56" s="1" t="s">
        <v>15</v>
      </c>
      <c r="F56" s="1">
        <v>1.0</v>
      </c>
      <c r="G56" s="1">
        <v>16000.0</v>
      </c>
      <c r="H56" s="1">
        <v>12000.0</v>
      </c>
    </row>
    <row r="57" ht="14.25" customHeight="1">
      <c r="A57" s="1">
        <v>1056.0</v>
      </c>
      <c r="B57" s="2">
        <v>44983.0</v>
      </c>
      <c r="C57" s="1" t="s">
        <v>16</v>
      </c>
      <c r="D57" s="1" t="s">
        <v>14</v>
      </c>
      <c r="E57" s="1" t="s">
        <v>15</v>
      </c>
      <c r="F57" s="1">
        <v>7.0</v>
      </c>
      <c r="G57" s="1">
        <v>46000.0</v>
      </c>
      <c r="H57" s="1">
        <v>34000.0</v>
      </c>
    </row>
    <row r="58" ht="14.25" customHeight="1">
      <c r="A58" s="1">
        <v>1057.0</v>
      </c>
      <c r="B58" s="2">
        <v>44984.0</v>
      </c>
      <c r="C58" s="1" t="s">
        <v>8</v>
      </c>
      <c r="D58" s="1" t="s">
        <v>9</v>
      </c>
      <c r="E58" s="1" t="s">
        <v>10</v>
      </c>
      <c r="F58" s="1">
        <v>3.0</v>
      </c>
      <c r="G58" s="1">
        <v>115000.0</v>
      </c>
      <c r="H58" s="1">
        <v>88000.0</v>
      </c>
    </row>
    <row r="59" ht="14.25" customHeight="1">
      <c r="A59" s="1">
        <v>1058.0</v>
      </c>
      <c r="B59" s="2">
        <v>44985.0</v>
      </c>
      <c r="C59" s="1" t="s">
        <v>11</v>
      </c>
      <c r="D59" s="1" t="s">
        <v>12</v>
      </c>
      <c r="E59" s="1" t="s">
        <v>10</v>
      </c>
      <c r="F59" s="1">
        <v>4.0</v>
      </c>
      <c r="G59" s="1">
        <v>65000.0</v>
      </c>
      <c r="H59" s="1">
        <v>48000.0</v>
      </c>
    </row>
    <row r="60" ht="14.25" customHeight="1">
      <c r="A60" s="1">
        <v>1059.0</v>
      </c>
      <c r="B60" s="2">
        <v>44986.0</v>
      </c>
      <c r="C60" s="1" t="s">
        <v>13</v>
      </c>
      <c r="D60" s="1" t="s">
        <v>14</v>
      </c>
      <c r="E60" s="1" t="s">
        <v>15</v>
      </c>
      <c r="F60" s="1">
        <v>5.0</v>
      </c>
      <c r="G60" s="1">
        <v>30000.0</v>
      </c>
      <c r="H60" s="1">
        <v>22000.0</v>
      </c>
    </row>
    <row r="61" ht="14.25" customHeight="1">
      <c r="A61" s="1">
        <v>1060.0</v>
      </c>
      <c r="B61" s="2">
        <v>44987.0</v>
      </c>
      <c r="C61" s="1" t="s">
        <v>16</v>
      </c>
      <c r="D61" s="1" t="s">
        <v>17</v>
      </c>
      <c r="E61" s="1" t="s">
        <v>15</v>
      </c>
      <c r="F61" s="1">
        <v>2.0</v>
      </c>
      <c r="G61" s="1">
        <v>28000.0</v>
      </c>
      <c r="H61" s="1">
        <v>21000.0</v>
      </c>
    </row>
    <row r="62" ht="14.25" customHeight="1">
      <c r="A62" s="1">
        <v>1061.0</v>
      </c>
      <c r="B62" s="2">
        <v>44988.0</v>
      </c>
      <c r="C62" s="1" t="s">
        <v>8</v>
      </c>
      <c r="D62" s="1" t="s">
        <v>12</v>
      </c>
      <c r="E62" s="1" t="s">
        <v>10</v>
      </c>
      <c r="F62" s="1">
        <v>6.0</v>
      </c>
      <c r="G62" s="1">
        <v>92000.0</v>
      </c>
      <c r="H62" s="1">
        <v>69000.0</v>
      </c>
    </row>
    <row r="63" ht="14.25" customHeight="1">
      <c r="A63" s="1">
        <v>1062.0</v>
      </c>
      <c r="B63" s="2">
        <v>44989.0</v>
      </c>
      <c r="C63" s="1" t="s">
        <v>11</v>
      </c>
      <c r="D63" s="1" t="s">
        <v>9</v>
      </c>
      <c r="E63" s="1" t="s">
        <v>10</v>
      </c>
      <c r="F63" s="1">
        <v>1.0</v>
      </c>
      <c r="G63" s="1">
        <v>41000.0</v>
      </c>
      <c r="H63" s="1">
        <v>32000.0</v>
      </c>
    </row>
    <row r="64" ht="14.25" customHeight="1">
      <c r="A64" s="1">
        <v>1063.0</v>
      </c>
      <c r="B64" s="2">
        <v>44990.0</v>
      </c>
      <c r="C64" s="1" t="s">
        <v>13</v>
      </c>
      <c r="D64" s="1" t="s">
        <v>17</v>
      </c>
      <c r="E64" s="1" t="s">
        <v>15</v>
      </c>
      <c r="F64" s="1">
        <v>3.0</v>
      </c>
      <c r="G64" s="1">
        <v>47000.0</v>
      </c>
      <c r="H64" s="1">
        <v>35000.0</v>
      </c>
    </row>
    <row r="65" ht="14.25" customHeight="1">
      <c r="A65" s="1">
        <v>1064.0</v>
      </c>
      <c r="B65" s="2">
        <v>44991.0</v>
      </c>
      <c r="C65" s="1" t="s">
        <v>16</v>
      </c>
      <c r="D65" s="1" t="s">
        <v>14</v>
      </c>
      <c r="E65" s="1" t="s">
        <v>15</v>
      </c>
      <c r="F65" s="1">
        <v>8.0</v>
      </c>
      <c r="G65" s="1">
        <v>52000.0</v>
      </c>
      <c r="H65" s="1">
        <v>39000.0</v>
      </c>
    </row>
    <row r="66" ht="14.25" customHeight="1">
      <c r="A66" s="1">
        <v>1065.0</v>
      </c>
      <c r="B66" s="2">
        <v>44992.0</v>
      </c>
      <c r="C66" s="1" t="s">
        <v>8</v>
      </c>
      <c r="D66" s="1" t="s">
        <v>9</v>
      </c>
      <c r="E66" s="1" t="s">
        <v>10</v>
      </c>
      <c r="F66" s="1">
        <v>2.0</v>
      </c>
      <c r="G66" s="1">
        <v>87000.0</v>
      </c>
      <c r="H66" s="1">
        <v>66000.0</v>
      </c>
    </row>
    <row r="67" ht="14.25" customHeight="1">
      <c r="A67" s="1">
        <v>1066.0</v>
      </c>
      <c r="B67" s="2">
        <v>44993.0</v>
      </c>
      <c r="C67" s="1" t="s">
        <v>11</v>
      </c>
      <c r="D67" s="1" t="s">
        <v>12</v>
      </c>
      <c r="E67" s="1" t="s">
        <v>10</v>
      </c>
      <c r="F67" s="1">
        <v>5.0</v>
      </c>
      <c r="G67" s="1">
        <v>80000.0</v>
      </c>
      <c r="H67" s="1">
        <v>60000.0</v>
      </c>
    </row>
    <row r="68" ht="14.25" customHeight="1">
      <c r="A68" s="1">
        <v>1067.0</v>
      </c>
      <c r="B68" s="2">
        <v>44994.0</v>
      </c>
      <c r="C68" s="1" t="s">
        <v>13</v>
      </c>
      <c r="D68" s="1" t="s">
        <v>14</v>
      </c>
      <c r="E68" s="1" t="s">
        <v>15</v>
      </c>
      <c r="F68" s="1">
        <v>4.0</v>
      </c>
      <c r="G68" s="1">
        <v>24000.0</v>
      </c>
      <c r="H68" s="1">
        <v>18000.0</v>
      </c>
    </row>
    <row r="69" ht="14.25" customHeight="1">
      <c r="A69" s="1">
        <v>1068.0</v>
      </c>
      <c r="B69" s="2">
        <v>44995.0</v>
      </c>
      <c r="C69" s="1" t="s">
        <v>16</v>
      </c>
      <c r="D69" s="1" t="s">
        <v>17</v>
      </c>
      <c r="E69" s="1" t="s">
        <v>15</v>
      </c>
      <c r="F69" s="1">
        <v>6.0</v>
      </c>
      <c r="G69" s="1">
        <v>90000.0</v>
      </c>
      <c r="H69" s="1">
        <v>68000.0</v>
      </c>
    </row>
    <row r="70" ht="14.25" customHeight="1">
      <c r="A70" s="1">
        <v>1069.0</v>
      </c>
      <c r="B70" s="2">
        <v>44996.0</v>
      </c>
      <c r="C70" s="1" t="s">
        <v>8</v>
      </c>
      <c r="D70" s="1" t="s">
        <v>12</v>
      </c>
      <c r="E70" s="1" t="s">
        <v>10</v>
      </c>
      <c r="F70" s="1">
        <v>3.0</v>
      </c>
      <c r="G70" s="1">
        <v>50000.0</v>
      </c>
      <c r="H70" s="1">
        <v>37000.0</v>
      </c>
    </row>
    <row r="71" ht="14.25" customHeight="1">
      <c r="A71" s="1">
        <v>1070.0</v>
      </c>
      <c r="B71" s="2">
        <v>44997.0</v>
      </c>
      <c r="C71" s="1" t="s">
        <v>11</v>
      </c>
      <c r="D71" s="1" t="s">
        <v>9</v>
      </c>
      <c r="E71" s="1" t="s">
        <v>10</v>
      </c>
      <c r="F71" s="1">
        <v>4.0</v>
      </c>
      <c r="G71" s="1">
        <v>140000.0</v>
      </c>
      <c r="H71" s="1">
        <v>110000.0</v>
      </c>
    </row>
    <row r="72" ht="14.25" customHeight="1">
      <c r="A72" s="1">
        <v>1071.0</v>
      </c>
      <c r="B72" s="2">
        <v>44998.0</v>
      </c>
      <c r="C72" s="1" t="s">
        <v>13</v>
      </c>
      <c r="D72" s="1" t="s">
        <v>17</v>
      </c>
      <c r="E72" s="1" t="s">
        <v>15</v>
      </c>
      <c r="F72" s="1">
        <v>2.0</v>
      </c>
      <c r="G72" s="1">
        <v>35000.0</v>
      </c>
      <c r="H72" s="1">
        <v>26000.0</v>
      </c>
    </row>
    <row r="73" ht="14.25" customHeight="1">
      <c r="A73" s="1">
        <v>1072.0</v>
      </c>
      <c r="B73" s="2">
        <v>44999.0</v>
      </c>
      <c r="C73" s="1" t="s">
        <v>16</v>
      </c>
      <c r="D73" s="1" t="s">
        <v>14</v>
      </c>
      <c r="E73" s="1" t="s">
        <v>15</v>
      </c>
      <c r="F73" s="1">
        <v>5.0</v>
      </c>
      <c r="G73" s="1">
        <v>33000.0</v>
      </c>
      <c r="H73" s="1">
        <v>25000.0</v>
      </c>
    </row>
    <row r="74" ht="14.25" customHeight="1">
      <c r="A74" s="1">
        <v>1073.0</v>
      </c>
      <c r="B74" s="2">
        <v>45000.0</v>
      </c>
      <c r="C74" s="1" t="s">
        <v>8</v>
      </c>
      <c r="D74" s="1" t="s">
        <v>9</v>
      </c>
      <c r="E74" s="1" t="s">
        <v>10</v>
      </c>
      <c r="F74" s="1">
        <v>1.0</v>
      </c>
      <c r="G74" s="1">
        <v>46000.0</v>
      </c>
      <c r="H74" s="1">
        <v>36000.0</v>
      </c>
    </row>
    <row r="75" ht="14.25" customHeight="1">
      <c r="A75" s="1">
        <v>1074.0</v>
      </c>
      <c r="B75" s="2">
        <v>45001.0</v>
      </c>
      <c r="C75" s="1" t="s">
        <v>11</v>
      </c>
      <c r="D75" s="1" t="s">
        <v>12</v>
      </c>
      <c r="E75" s="1" t="s">
        <v>10</v>
      </c>
      <c r="F75" s="1">
        <v>6.0</v>
      </c>
      <c r="G75" s="1">
        <v>95000.0</v>
      </c>
      <c r="H75" s="1">
        <v>72000.0</v>
      </c>
    </row>
    <row r="76" ht="14.25" customHeight="1">
      <c r="A76" s="1">
        <v>1075.0</v>
      </c>
      <c r="B76" s="2">
        <v>45002.0</v>
      </c>
      <c r="C76" s="1" t="s">
        <v>13</v>
      </c>
      <c r="D76" s="1" t="s">
        <v>14</v>
      </c>
      <c r="E76" s="1" t="s">
        <v>15</v>
      </c>
      <c r="F76" s="1">
        <v>7.0</v>
      </c>
      <c r="G76" s="1">
        <v>41000.0</v>
      </c>
      <c r="H76" s="1">
        <v>32000.0</v>
      </c>
    </row>
    <row r="77" ht="14.25" customHeight="1">
      <c r="A77" s="1">
        <v>1076.0</v>
      </c>
      <c r="B77" s="2">
        <v>45003.0</v>
      </c>
      <c r="C77" s="1" t="s">
        <v>16</v>
      </c>
      <c r="D77" s="1" t="s">
        <v>17</v>
      </c>
      <c r="E77" s="1" t="s">
        <v>15</v>
      </c>
      <c r="F77" s="1">
        <v>3.0</v>
      </c>
      <c r="G77" s="1">
        <v>48000.0</v>
      </c>
      <c r="H77" s="1">
        <v>36000.0</v>
      </c>
    </row>
    <row r="78" ht="14.25" customHeight="1">
      <c r="A78" s="1">
        <v>1077.0</v>
      </c>
      <c r="B78" s="2">
        <v>45004.0</v>
      </c>
      <c r="C78" s="1" t="s">
        <v>8</v>
      </c>
      <c r="D78" s="1" t="s">
        <v>12</v>
      </c>
      <c r="E78" s="1" t="s">
        <v>10</v>
      </c>
      <c r="F78" s="1">
        <v>4.0</v>
      </c>
      <c r="G78" s="1">
        <v>67000.0</v>
      </c>
      <c r="H78" s="1">
        <v>50000.0</v>
      </c>
    </row>
    <row r="79" ht="14.25" customHeight="1">
      <c r="A79" s="1">
        <v>1078.0</v>
      </c>
      <c r="B79" s="2">
        <v>45005.0</v>
      </c>
      <c r="C79" s="1" t="s">
        <v>11</v>
      </c>
      <c r="D79" s="1" t="s">
        <v>9</v>
      </c>
      <c r="E79" s="1" t="s">
        <v>10</v>
      </c>
      <c r="F79" s="1">
        <v>2.0</v>
      </c>
      <c r="G79" s="1">
        <v>89000.0</v>
      </c>
      <c r="H79" s="1">
        <v>70000.0</v>
      </c>
    </row>
    <row r="80" ht="14.25" customHeight="1">
      <c r="A80" s="1">
        <v>1079.0</v>
      </c>
      <c r="B80" s="2">
        <v>45006.0</v>
      </c>
      <c r="C80" s="1" t="s">
        <v>13</v>
      </c>
      <c r="D80" s="1" t="s">
        <v>17</v>
      </c>
      <c r="E80" s="1" t="s">
        <v>15</v>
      </c>
      <c r="F80" s="1">
        <v>5.0</v>
      </c>
      <c r="G80" s="1">
        <v>75000.0</v>
      </c>
      <c r="H80" s="1">
        <v>56000.0</v>
      </c>
    </row>
    <row r="81" ht="14.25" customHeight="1">
      <c r="A81" s="1">
        <v>1080.0</v>
      </c>
      <c r="B81" s="2">
        <v>45007.0</v>
      </c>
      <c r="C81" s="1" t="s">
        <v>16</v>
      </c>
      <c r="D81" s="1" t="s">
        <v>14</v>
      </c>
      <c r="E81" s="1" t="s">
        <v>15</v>
      </c>
      <c r="F81" s="1">
        <v>6.0</v>
      </c>
      <c r="G81" s="1">
        <v>39000.0</v>
      </c>
      <c r="H81" s="1">
        <v>30000.0</v>
      </c>
    </row>
    <row r="82" ht="14.25" customHeight="1">
      <c r="A82" s="1">
        <v>1081.0</v>
      </c>
      <c r="B82" s="2">
        <v>45008.0</v>
      </c>
      <c r="C82" s="1" t="s">
        <v>8</v>
      </c>
      <c r="D82" s="1" t="s">
        <v>9</v>
      </c>
      <c r="E82" s="1" t="s">
        <v>10</v>
      </c>
      <c r="F82" s="1">
        <v>3.0</v>
      </c>
      <c r="G82" s="1">
        <v>118000.0</v>
      </c>
      <c r="H82" s="1">
        <v>90000.0</v>
      </c>
    </row>
    <row r="83" ht="14.25" customHeight="1">
      <c r="A83" s="1">
        <v>1082.0</v>
      </c>
      <c r="B83" s="2">
        <v>45009.0</v>
      </c>
      <c r="C83" s="1" t="s">
        <v>11</v>
      </c>
      <c r="D83" s="1" t="s">
        <v>12</v>
      </c>
      <c r="E83" s="1" t="s">
        <v>10</v>
      </c>
      <c r="F83" s="1">
        <v>2.0</v>
      </c>
      <c r="G83" s="1">
        <v>34000.0</v>
      </c>
      <c r="H83" s="1">
        <v>26000.0</v>
      </c>
    </row>
    <row r="84" ht="14.25" customHeight="1">
      <c r="A84" s="1">
        <v>1083.0</v>
      </c>
      <c r="B84" s="2">
        <v>45010.0</v>
      </c>
      <c r="C84" s="1" t="s">
        <v>13</v>
      </c>
      <c r="D84" s="1" t="s">
        <v>14</v>
      </c>
      <c r="E84" s="1" t="s">
        <v>15</v>
      </c>
      <c r="F84" s="1">
        <v>4.0</v>
      </c>
      <c r="G84" s="1">
        <v>26000.0</v>
      </c>
      <c r="H84" s="1">
        <v>20000.0</v>
      </c>
    </row>
    <row r="85" ht="14.25" customHeight="1">
      <c r="A85" s="1">
        <v>1084.0</v>
      </c>
      <c r="B85" s="2">
        <v>45011.0</v>
      </c>
      <c r="C85" s="1" t="s">
        <v>16</v>
      </c>
      <c r="D85" s="1" t="s">
        <v>17</v>
      </c>
      <c r="E85" s="1" t="s">
        <v>15</v>
      </c>
      <c r="F85" s="1">
        <v>1.0</v>
      </c>
      <c r="G85" s="1">
        <v>17000.0</v>
      </c>
      <c r="H85" s="1">
        <v>13000.0</v>
      </c>
    </row>
    <row r="86" ht="14.25" customHeight="1">
      <c r="A86" s="1">
        <v>1085.0</v>
      </c>
      <c r="B86" s="2">
        <v>45012.0</v>
      </c>
      <c r="C86" s="1" t="s">
        <v>8</v>
      </c>
      <c r="D86" s="1" t="s">
        <v>12</v>
      </c>
      <c r="E86" s="1" t="s">
        <v>10</v>
      </c>
      <c r="F86" s="1">
        <v>5.0</v>
      </c>
      <c r="G86" s="1">
        <v>82000.0</v>
      </c>
      <c r="H86" s="1">
        <v>62000.0</v>
      </c>
    </row>
    <row r="87" ht="14.25" customHeight="1">
      <c r="A87" s="1">
        <v>1086.0</v>
      </c>
      <c r="B87" s="2">
        <v>45013.0</v>
      </c>
      <c r="C87" s="1" t="s">
        <v>11</v>
      </c>
      <c r="D87" s="1" t="s">
        <v>9</v>
      </c>
      <c r="E87" s="1" t="s">
        <v>10</v>
      </c>
      <c r="F87" s="1">
        <v>1.0</v>
      </c>
      <c r="G87" s="1">
        <v>43000.0</v>
      </c>
      <c r="H87" s="1">
        <v>33000.0</v>
      </c>
    </row>
    <row r="88" ht="14.25" customHeight="1">
      <c r="A88" s="1">
        <v>1087.0</v>
      </c>
      <c r="B88" s="2">
        <v>45014.0</v>
      </c>
      <c r="C88" s="1" t="s">
        <v>13</v>
      </c>
      <c r="D88" s="1" t="s">
        <v>17</v>
      </c>
      <c r="E88" s="1" t="s">
        <v>15</v>
      </c>
      <c r="F88" s="1">
        <v>3.0</v>
      </c>
      <c r="G88" s="1">
        <v>46000.0</v>
      </c>
      <c r="H88" s="1">
        <v>35000.0</v>
      </c>
    </row>
    <row r="89" ht="14.25" customHeight="1">
      <c r="A89" s="1">
        <v>1088.0</v>
      </c>
      <c r="B89" s="2">
        <v>45015.0</v>
      </c>
      <c r="C89" s="1" t="s">
        <v>16</v>
      </c>
      <c r="D89" s="1" t="s">
        <v>14</v>
      </c>
      <c r="E89" s="1" t="s">
        <v>15</v>
      </c>
      <c r="F89" s="1">
        <v>7.0</v>
      </c>
      <c r="G89" s="1">
        <v>47000.0</v>
      </c>
      <c r="H89" s="1">
        <v>36000.0</v>
      </c>
    </row>
    <row r="90" ht="14.25" customHeight="1">
      <c r="A90" s="1">
        <v>1089.0</v>
      </c>
      <c r="B90" s="2">
        <v>45016.0</v>
      </c>
      <c r="C90" s="1" t="s">
        <v>8</v>
      </c>
      <c r="D90" s="1" t="s">
        <v>9</v>
      </c>
      <c r="E90" s="1" t="s">
        <v>10</v>
      </c>
      <c r="F90" s="1">
        <v>2.0</v>
      </c>
      <c r="G90" s="1">
        <v>88000.0</v>
      </c>
      <c r="H90" s="1">
        <v>67000.0</v>
      </c>
    </row>
    <row r="91" ht="14.25" customHeight="1">
      <c r="A91" s="1">
        <v>1090.0</v>
      </c>
      <c r="B91" s="2">
        <v>45017.0</v>
      </c>
      <c r="C91" s="1" t="s">
        <v>11</v>
      </c>
      <c r="D91" s="1" t="s">
        <v>12</v>
      </c>
      <c r="E91" s="1" t="s">
        <v>10</v>
      </c>
      <c r="F91" s="1">
        <v>4.0</v>
      </c>
      <c r="G91" s="1">
        <v>69000.0</v>
      </c>
      <c r="H91" s="1">
        <v>52000.0</v>
      </c>
    </row>
    <row r="92" ht="14.25" customHeight="1">
      <c r="A92" s="1">
        <v>1091.0</v>
      </c>
      <c r="B92" s="2">
        <v>45018.0</v>
      </c>
      <c r="C92" s="1" t="s">
        <v>13</v>
      </c>
      <c r="D92" s="1" t="s">
        <v>14</v>
      </c>
      <c r="E92" s="1" t="s">
        <v>15</v>
      </c>
      <c r="F92" s="1">
        <v>6.0</v>
      </c>
      <c r="G92" s="1">
        <v>34000.0</v>
      </c>
      <c r="H92" s="1">
        <v>26000.0</v>
      </c>
    </row>
    <row r="93" ht="14.25" customHeight="1">
      <c r="A93" s="1">
        <v>1092.0</v>
      </c>
      <c r="B93" s="2">
        <v>45019.0</v>
      </c>
      <c r="C93" s="1" t="s">
        <v>16</v>
      </c>
      <c r="D93" s="1" t="s">
        <v>17</v>
      </c>
      <c r="E93" s="1" t="s">
        <v>15</v>
      </c>
      <c r="F93" s="1">
        <v>5.0</v>
      </c>
      <c r="G93" s="1">
        <v>82000.0</v>
      </c>
      <c r="H93" s="1">
        <v>63000.0</v>
      </c>
    </row>
    <row r="94" ht="14.25" customHeight="1">
      <c r="A94" s="1">
        <v>1093.0</v>
      </c>
      <c r="B94" s="2">
        <v>45020.0</v>
      </c>
      <c r="C94" s="1" t="s">
        <v>8</v>
      </c>
      <c r="D94" s="1" t="s">
        <v>12</v>
      </c>
      <c r="E94" s="1" t="s">
        <v>10</v>
      </c>
      <c r="F94" s="1">
        <v>3.0</v>
      </c>
      <c r="G94" s="1">
        <v>51000.0</v>
      </c>
      <c r="H94" s="1">
        <v>39000.0</v>
      </c>
    </row>
    <row r="95" ht="14.25" customHeight="1">
      <c r="A95" s="1">
        <v>1094.0</v>
      </c>
      <c r="B95" s="2">
        <v>45021.0</v>
      </c>
      <c r="C95" s="1" t="s">
        <v>11</v>
      </c>
      <c r="D95" s="1" t="s">
        <v>9</v>
      </c>
      <c r="E95" s="1" t="s">
        <v>10</v>
      </c>
      <c r="F95" s="1">
        <v>2.0</v>
      </c>
      <c r="G95" s="1">
        <v>92000.0</v>
      </c>
      <c r="H95" s="1">
        <v>72000.0</v>
      </c>
    </row>
    <row r="96" ht="14.25" customHeight="1">
      <c r="A96" s="1">
        <v>1095.0</v>
      </c>
      <c r="B96" s="2">
        <v>45022.0</v>
      </c>
      <c r="C96" s="1" t="s">
        <v>13</v>
      </c>
      <c r="D96" s="1" t="s">
        <v>17</v>
      </c>
      <c r="E96" s="1" t="s">
        <v>15</v>
      </c>
      <c r="F96" s="1">
        <v>4.0</v>
      </c>
      <c r="G96" s="1">
        <v>62000.0</v>
      </c>
      <c r="H96" s="1">
        <v>47000.0</v>
      </c>
    </row>
    <row r="97" ht="14.25" customHeight="1">
      <c r="A97" s="1">
        <v>1096.0</v>
      </c>
      <c r="B97" s="2">
        <v>45023.0</v>
      </c>
      <c r="C97" s="1" t="s">
        <v>16</v>
      </c>
      <c r="D97" s="1" t="s">
        <v>14</v>
      </c>
      <c r="E97" s="1" t="s">
        <v>15</v>
      </c>
      <c r="F97" s="1">
        <v>8.0</v>
      </c>
      <c r="G97" s="1">
        <v>56000.0</v>
      </c>
      <c r="H97" s="1">
        <v>42000.0</v>
      </c>
    </row>
    <row r="98" ht="14.25" customHeight="1">
      <c r="A98" s="1">
        <v>1097.0</v>
      </c>
      <c r="B98" s="2">
        <v>45024.0</v>
      </c>
      <c r="C98" s="1" t="s">
        <v>8</v>
      </c>
      <c r="D98" s="1" t="s">
        <v>9</v>
      </c>
      <c r="E98" s="1" t="s">
        <v>10</v>
      </c>
      <c r="F98" s="1">
        <v>1.0</v>
      </c>
      <c r="G98" s="1">
        <v>48000.0</v>
      </c>
      <c r="H98" s="1">
        <v>38000.0</v>
      </c>
    </row>
    <row r="99" ht="14.25" customHeight="1">
      <c r="A99" s="1">
        <v>1098.0</v>
      </c>
      <c r="B99" s="2">
        <v>45025.0</v>
      </c>
      <c r="C99" s="1" t="s">
        <v>11</v>
      </c>
      <c r="D99" s="1" t="s">
        <v>12</v>
      </c>
      <c r="E99" s="1" t="s">
        <v>10</v>
      </c>
      <c r="F99" s="1">
        <v>5.0</v>
      </c>
      <c r="G99" s="1">
        <v>83000.0</v>
      </c>
      <c r="H99" s="1">
        <v>64000.0</v>
      </c>
    </row>
    <row r="100" ht="14.25" customHeight="1">
      <c r="A100" s="1">
        <v>1099.0</v>
      </c>
      <c r="B100" s="2">
        <v>45026.0</v>
      </c>
      <c r="C100" s="1" t="s">
        <v>13</v>
      </c>
      <c r="D100" s="1" t="s">
        <v>14</v>
      </c>
      <c r="E100" s="1" t="s">
        <v>15</v>
      </c>
      <c r="F100" s="1">
        <v>3.0</v>
      </c>
      <c r="G100" s="1">
        <v>23000.0</v>
      </c>
      <c r="H100" s="1">
        <v>18000.0</v>
      </c>
    </row>
    <row r="101" ht="14.25" customHeight="1">
      <c r="A101" s="1">
        <v>1100.0</v>
      </c>
      <c r="B101" s="2">
        <v>45027.0</v>
      </c>
      <c r="C101" s="1" t="s">
        <v>16</v>
      </c>
      <c r="D101" s="1" t="s">
        <v>17</v>
      </c>
      <c r="E101" s="1" t="s">
        <v>15</v>
      </c>
      <c r="F101" s="1">
        <v>2.0</v>
      </c>
      <c r="G101" s="1">
        <v>29000.0</v>
      </c>
      <c r="H101" s="1">
        <v>22000.0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2026-01-21T13:26:45Z</dcterms:created>
  <dc:creator>Aakash Bambhaniya</dc:creator>
</cp:coreProperties>
</file>